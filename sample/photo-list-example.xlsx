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23aeff370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등록목록" sheetId="1" r:id="R961bbbf28b664266"/>
    <x:sheet xmlns:r="http://schemas.openxmlformats.org/officeDocument/2006/relationships" name="집계" sheetId="2" r:id="Rec6c79ecd5c84dce"/>
  </x:sheets>
  <x:definedNames>
    <x:definedName name="_xlnm.Print_Area" localSheetId="0">'등록목록'!$A$1:$G$40</x:definedName>
    <x:definedName name="_xlnm.Print_Titles" localSheetId="0">'등록목록'!$1:$4</x:definedName>
  </x:definedNames>
  <x:calcPr calcId="191029"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@"/>
    <x:numFmt numFmtId="202" formatCode="0"/>
    <x:numFmt numFmtId="203" formatCode="0.0%"/>
  </x:numFmts>
  <x:fonts count="6">
    <x:font>
      <x:sz val="11"/>
      <x:name val="Carlito"/>
    </x:font>
    <x:font>
      <x:sz val="10"/>
      <x:color rgb="FF19282F"/>
      <x:name val="맑은 고딕"/>
    </x:font>
    <x:font>
      <x:b/>
      <x:sz val="18"/>
      <x:color rgb="FFFFFFFF"/>
      <x:name val="맑은 고딕"/>
    </x:font>
    <x:font>
      <x:sz val="10"/>
      <x:color rgb="FF687C85"/>
      <x:name val="맑은 고딕"/>
    </x:font>
    <x:font>
      <x:b/>
      <x:sz val="11"/>
      <x:color rgb="FFFFFFFF"/>
      <x:name val="맑은 고딕"/>
    </x:font>
    <x:font>
      <x:b/>
      <x:sz val="12"/>
      <x:color rgb="FF167366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9282F"/>
      </x:patternFill>
    </x:fill>
    <x:fill>
      <x:patternFill patternType="solid">
        <x:fgColor rgb="FF167366"/>
      </x:patternFill>
    </x:fill>
    <x:fill>
      <x:patternFill patternType="solid">
        <x:fgColor rgb="FFF3F7F6"/>
      </x:patternFill>
    </x:fill>
    <x:fill>
      <x:patternFill patternType="solid">
        <x:fgColor rgb="FFE8F4E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201" fontId="1" fillId="4" borderId="1" xfId="0" applyNumberFormat="1" applyFont="1" applyFill="1" applyBorder="1" applyAlignment="1">
      <x:alignment horizontal="center" vertical="center" wrapText="1"/>
    </x:xf>
    <x:xf numFmtId="201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d48ffb829414e" /><Relationship Type="http://schemas.openxmlformats.org/officeDocument/2006/relationships/theme" Target="/xl/theme/theme1.xml" Id="Rc3025b01edf84c65" /><Relationship Type="http://schemas.openxmlformats.org/officeDocument/2006/relationships/sharedStrings" Target="/xl/sharedStrings.xml" Id="R9e7d9c77d75d4af1" /><Relationship Type="http://schemas.openxmlformats.org/officeDocument/2006/relationships/worksheet" Target="/xl/worksheets/sheet1.xml" Id="R961bbbf28b664266" /><Relationship Type="http://schemas.openxmlformats.org/officeDocument/2006/relationships/worksheet" Target="/xl/worksheets/sheet2.xml" Id="Rec6c79ecd5c84dce" /></Relationships>
</file>

<file path=xl/drawings/_rels/drawing1.xml.rels><?xml version="1.0" encoding="UTF-8"?><Relationships xmlns="http://schemas.openxmlformats.org/package/2006/relationships"><Relationship Id="rId1" Type="http://schemas.openxmlformats.org/officeDocument/2006/relationships/image" Target="../media/photo1.jpeg"/><Relationship Id="rId2" Type="http://schemas.openxmlformats.org/officeDocument/2006/relationships/image" Target="../media/photo2.jpeg"/><Relationship Id="rId3" Type="http://schemas.openxmlformats.org/officeDocument/2006/relationships/image" Target="../media/photo3.jpeg"/><Relationship Id="rId4" Type="http://schemas.openxmlformats.org/officeDocument/2006/relationships/image" Target="../media/photo4.jpeg"/><Relationship Id="rId5" Type="http://schemas.openxmlformats.org/officeDocument/2006/relationships/image" Target="../media/photo5.jpeg"/><Relationship Id="rId6" Type="http://schemas.openxmlformats.org/officeDocument/2006/relationships/image" Target="../media/photo6.jpeg"/><Relationship Id="rId7" Type="http://schemas.openxmlformats.org/officeDocument/2006/relationships/image" Target="../media/photo7.jpeg"/><Relationship Id="rId8" Type="http://schemas.openxmlformats.org/officeDocument/2006/relationships/image" Target="../media/photo8.jpeg"/><Relationship Id="rId9" Type="http://schemas.openxmlformats.org/officeDocument/2006/relationships/image" Target="../media/photo9.jpeg"/><Relationship Id="rId10" Type="http://schemas.openxmlformats.org/officeDocument/2006/relationships/image" Target="../media/photo10.jpeg"/><Relationship Id="rId11" Type="http://schemas.openxmlformats.org/officeDocument/2006/relationships/image" Target="../media/photo11.jpeg"/><Relationship Id="rId12" Type="http://schemas.openxmlformats.org/officeDocument/2006/relationships/image" Target="../media/photo12.jpeg"/><Relationship Id="rId13" Type="http://schemas.openxmlformats.org/officeDocument/2006/relationships/image" Target="../media/photo13.jpeg"/><Relationship Id="rId14" Type="http://schemas.openxmlformats.org/officeDocument/2006/relationships/image" Target="../media/photo14.jpeg"/><Relationship Id="rId15" Type="http://schemas.openxmlformats.org/officeDocument/2006/relationships/image" Target="../media/photo15.jpeg"/><Relationship Id="rId16" Type="http://schemas.openxmlformats.org/officeDocument/2006/relationships/image" Target="../media/photo16.jpeg"/><Relationship Id="rId17" Type="http://schemas.openxmlformats.org/officeDocument/2006/relationships/image" Target="../media/photo17.jpeg"/><Relationship Id="rId18" Type="http://schemas.openxmlformats.org/officeDocument/2006/relationships/image" Target="../media/photo18.jpeg"/><Relationship Id="rId19" Type="http://schemas.openxmlformats.org/officeDocument/2006/relationships/image" Target="../media/photo19.jpeg"/><Relationship Id="rId20" Type="http://schemas.openxmlformats.org/officeDocument/2006/relationships/image" Target="../media/photo20.jpeg"/><Relationship Id="rId21" Type="http://schemas.openxmlformats.org/officeDocument/2006/relationships/image" Target="../media/photo21.jpeg"/><Relationship Id="rId22" Type="http://schemas.openxmlformats.org/officeDocument/2006/relationships/image" Target="../media/photo22.jpeg"/><Relationship Id="rId23" Type="http://schemas.openxmlformats.org/officeDocument/2006/relationships/image" Target="../media/photo23.jpeg"/><Relationship Id="rId24" Type="http://schemas.openxmlformats.org/officeDocument/2006/relationships/image" Target="../media/photo24.jpeg"/><Relationship Id="rId25" Type="http://schemas.openxmlformats.org/officeDocument/2006/relationships/image" Target="../media/photo25.jpeg"/><Relationship Id="rId26" Type="http://schemas.openxmlformats.org/officeDocument/2006/relationships/image" Target="../media/photo26.jpeg"/><Relationship Id="rId27" Type="http://schemas.openxmlformats.org/officeDocument/2006/relationships/image" Target="../media/photo27.jpeg"/><Relationship Id="rId28" Type="http://schemas.openxmlformats.org/officeDocument/2006/relationships/image" Target="../media/photo28.jpeg"/><Relationship Id="rId29" Type="http://schemas.openxmlformats.org/officeDocument/2006/relationships/image" Target="../media/photo29.jpeg"/><Relationship Id="rId30" Type="http://schemas.openxmlformats.org/officeDocument/2006/relationships/image" Target="../media/photo30.jpeg"/><Relationship Id="rId31" Type="http://schemas.openxmlformats.org/officeDocument/2006/relationships/image" Target="../media/photo31.jpeg"/><Relationship Id="rId32" Type="http://schemas.openxmlformats.org/officeDocument/2006/relationships/image" Target="../media/photo32.jpeg"/><Relationship Id="rId33" Type="http://schemas.openxmlformats.org/officeDocument/2006/relationships/image" Target="../media/photo33.jpeg"/><Relationship Id="rId34" Type="http://schemas.openxmlformats.org/officeDocument/2006/relationships/image" Target="../media/photo34.jpeg"/><Relationship Id="rId35" Type="http://schemas.openxmlformats.org/officeDocument/2006/relationships/image" Target="../media/photo35.jpeg"/><Relationship Id="rId36" Type="http://schemas.openxmlformats.org/officeDocument/2006/relationships/image" Target="../media/photo36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104775</xdr:colOff>
      <xdr:row>4</xdr:row>
      <xdr:rowOff>76200</xdr:rowOff>
    </xdr:from>
    <xdr:to>
      <xdr:col>6</xdr:col>
      <xdr:colOff>2486025</xdr:colOff>
      <xdr:row>4</xdr:row>
      <xdr:rowOff>1447800</xdr:rowOff>
    </xdr:to>
    <xdr:pic>
      <xdr:nvPicPr>
        <xdr:cNvPr id="1" name="현장사진 1" descr="102동 803호 현관 현관 몰딩 이음부 틈새, ○○내장 보수.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5</xdr:row>
      <xdr:rowOff>76200</xdr:rowOff>
    </xdr:from>
    <xdr:to>
      <xdr:col>6</xdr:col>
      <xdr:colOff>2486025</xdr:colOff>
      <xdr:row>5</xdr:row>
      <xdr:rowOff>1447800</xdr:rowOff>
    </xdr:to>
    <xdr:pic>
      <xdr:nvPicPr>
        <xdr:cNvPr id="2" name="현장사진 2" descr="102동 903호 안방 안방 벽지 들뜸, ○○도배 보수.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6</xdr:row>
      <xdr:rowOff>76200</xdr:rowOff>
    </xdr:from>
    <xdr:to>
      <xdr:col>6</xdr:col>
      <xdr:colOff>2486025</xdr:colOff>
      <xdr:row>6</xdr:row>
      <xdr:rowOff>1447800</xdr:rowOff>
    </xdr:to>
    <xdr:pic>
      <xdr:nvPicPr>
        <xdr:cNvPr id="3" name="현장사진 3" descr="101동 1204호 거실 거실 벽지 들뜸, ○○도배 보수.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7</xdr:row>
      <xdr:rowOff>76200</xdr:rowOff>
    </xdr:from>
    <xdr:to>
      <xdr:col>6</xdr:col>
      <xdr:colOff>2486025</xdr:colOff>
      <xdr:row>7</xdr:row>
      <xdr:rowOff>1447800</xdr:rowOff>
    </xdr:to>
    <xdr:pic>
      <xdr:nvPicPr>
        <xdr:cNvPr id="4" name="현장사진 4" descr="102동 804호 거실 거실 창호 하부 코킹 누락, ○○창호 보수.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8</xdr:row>
      <xdr:rowOff>76200</xdr:rowOff>
    </xdr:from>
    <xdr:to>
      <xdr:col>6</xdr:col>
      <xdr:colOff>2486025</xdr:colOff>
      <xdr:row>8</xdr:row>
      <xdr:rowOff>1447800</xdr:rowOff>
    </xdr:to>
    <xdr:pic>
      <xdr:nvPicPr>
        <xdr:cNvPr id="5" name="현장사진 5" descr="101동 1303호 욕실 욕실 벽 타일 들뜸, ○○타일 보수.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9</xdr:row>
      <xdr:rowOff>76200</xdr:rowOff>
    </xdr:from>
    <xdr:to>
      <xdr:col>6</xdr:col>
      <xdr:colOff>2486025</xdr:colOff>
      <xdr:row>9</xdr:row>
      <xdr:rowOff>1447800</xdr:rowOff>
    </xdr:to>
    <xdr:pic>
      <xdr:nvPicPr>
        <xdr:cNvPr id="6" name="현장사진 6" descr="101동 1203호 욕실 욕실 바닥 타일 단차, ○○타일 확인.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10</xdr:row>
      <xdr:rowOff>76200</xdr:rowOff>
    </xdr:from>
    <xdr:to>
      <xdr:col>6</xdr:col>
      <xdr:colOff>2486025</xdr:colOff>
      <xdr:row>10</xdr:row>
      <xdr:rowOff>1447800</xdr:rowOff>
    </xdr:to>
    <xdr:pic>
      <xdr:nvPicPr>
        <xdr:cNvPr id="7" name="현장사진 7" descr="101동 1204호 현관 현관 몰딩 이음부 틈새, ○○내장 보수.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11</xdr:row>
      <xdr:rowOff>76200</xdr:rowOff>
    </xdr:from>
    <xdr:to>
      <xdr:col>6</xdr:col>
      <xdr:colOff>2486025</xdr:colOff>
      <xdr:row>11</xdr:row>
      <xdr:rowOff>1447800</xdr:rowOff>
    </xdr:to>
    <xdr:pic>
      <xdr:nvPicPr>
        <xdr:cNvPr id="8" name="현장사진 8" descr="102동 804호 안방 안방 문선 찍힘, ○○내장 보수.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12</xdr:row>
      <xdr:rowOff>76200</xdr:rowOff>
    </xdr:from>
    <xdr:to>
      <xdr:col>6</xdr:col>
      <xdr:colOff>2486025</xdr:colOff>
      <xdr:row>12</xdr:row>
      <xdr:rowOff>1447800</xdr:rowOff>
    </xdr:to>
    <xdr:pic>
      <xdr:nvPicPr>
        <xdr:cNvPr id="9" name="현장사진 9" descr="101동 1203호 주방 주방 싱크대 문짝 찍힘, ○○가구 보수.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13</xdr:row>
      <xdr:rowOff>76200</xdr:rowOff>
    </xdr:from>
    <xdr:to>
      <xdr:col>6</xdr:col>
      <xdr:colOff>2486025</xdr:colOff>
      <xdr:row>13</xdr:row>
      <xdr:rowOff>1447800</xdr:rowOff>
    </xdr:to>
    <xdr:pic>
      <xdr:nvPicPr>
        <xdr:cNvPr id="10" name="현장사진 10" descr="102동 903호 주방 주방 걸레받이 미시공, ○○가구 확인.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14</xdr:row>
      <xdr:rowOff>76200</xdr:rowOff>
    </xdr:from>
    <xdr:to>
      <xdr:col>6</xdr:col>
      <xdr:colOff>2486025</xdr:colOff>
      <xdr:row>14</xdr:row>
      <xdr:rowOff>1447800</xdr:rowOff>
    </xdr:to>
    <xdr:pic>
      <xdr:nvPicPr>
        <xdr:cNvPr id="11" name="현장사진 11" descr="102동 903호 거실 거실 벽지 들뜸, ○○도배 보수.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15</xdr:row>
      <xdr:rowOff>76200</xdr:rowOff>
    </xdr:from>
    <xdr:to>
      <xdr:col>6</xdr:col>
      <xdr:colOff>2486025</xdr:colOff>
      <xdr:row>15</xdr:row>
      <xdr:rowOff>1447800</xdr:rowOff>
    </xdr:to>
    <xdr:pic>
      <xdr:nvPicPr>
        <xdr:cNvPr id="12" name="현장사진 12" descr="101동 1303호 거실 거실 창호 하부 코킹 누락, ○○창호 보수.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16</xdr:row>
      <xdr:rowOff>76200</xdr:rowOff>
    </xdr:from>
    <xdr:to>
      <xdr:col>6</xdr:col>
      <xdr:colOff>2486025</xdr:colOff>
      <xdr:row>16</xdr:row>
      <xdr:rowOff>1447800</xdr:rowOff>
    </xdr:to>
    <xdr:pic>
      <xdr:nvPicPr>
        <xdr:cNvPr id="13" name="현장사진 13" descr="102동 804호 욕실 욕실 바닥 타일 단차, ○○타일 확인.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17</xdr:row>
      <xdr:rowOff>76200</xdr:rowOff>
    </xdr:from>
    <xdr:to>
      <xdr:col>6</xdr:col>
      <xdr:colOff>2486025</xdr:colOff>
      <xdr:row>17</xdr:row>
      <xdr:rowOff>1447800</xdr:rowOff>
    </xdr:to>
    <xdr:pic>
      <xdr:nvPicPr>
        <xdr:cNvPr id="14" name="현장사진 14" descr="102동 903호 작은방 작은방 콘센트 미설치, ○○전기 확인.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18</xdr:row>
      <xdr:rowOff>76200</xdr:rowOff>
    </xdr:from>
    <xdr:to>
      <xdr:col>6</xdr:col>
      <xdr:colOff>2486025</xdr:colOff>
      <xdr:row>18</xdr:row>
      <xdr:rowOff>1447800</xdr:rowOff>
    </xdr:to>
    <xdr:pic>
      <xdr:nvPicPr>
        <xdr:cNvPr id="15" name="현장사진 15" descr="101동 1303호 안방 안방 문선 찍힘, ○○내장 보수.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19</xdr:row>
      <xdr:rowOff>76200</xdr:rowOff>
    </xdr:from>
    <xdr:to>
      <xdr:col>6</xdr:col>
      <xdr:colOff>2486025</xdr:colOff>
      <xdr:row>19</xdr:row>
      <xdr:rowOff>1447800</xdr:rowOff>
    </xdr:to>
    <xdr:pic>
      <xdr:nvPicPr>
        <xdr:cNvPr id="16" name="현장사진 16" descr="102동 803호 주방 주방 걸레받이 미시공, ○○가구 확인.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20</xdr:row>
      <xdr:rowOff>76200</xdr:rowOff>
    </xdr:from>
    <xdr:to>
      <xdr:col>6</xdr:col>
      <xdr:colOff>2486025</xdr:colOff>
      <xdr:row>20</xdr:row>
      <xdr:rowOff>1447800</xdr:rowOff>
    </xdr:to>
    <xdr:pic>
      <xdr:nvPicPr>
        <xdr:cNvPr id="17" name="현장사진 17" descr="101동 1203호 거실 거실 창호 하부 코킹 누락, ○○창호 보수.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21</xdr:row>
      <xdr:rowOff>76200</xdr:rowOff>
    </xdr:from>
    <xdr:to>
      <xdr:col>6</xdr:col>
      <xdr:colOff>2486025</xdr:colOff>
      <xdr:row>21</xdr:row>
      <xdr:rowOff>1447800</xdr:rowOff>
    </xdr:to>
    <xdr:pic>
      <xdr:nvPicPr>
        <xdr:cNvPr id="18" name="현장사진 18" descr="102동 903호 욕실 욕실 벽 타일 들뜸, ○○타일 보수.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22</xdr:row>
      <xdr:rowOff>76200</xdr:rowOff>
    </xdr:from>
    <xdr:to>
      <xdr:col>6</xdr:col>
      <xdr:colOff>2486025</xdr:colOff>
      <xdr:row>22</xdr:row>
      <xdr:rowOff>1447800</xdr:rowOff>
    </xdr:to>
    <xdr:pic>
      <xdr:nvPicPr>
        <xdr:cNvPr id="19" name="현장사진 19" descr="101동 1303호 욕실 욕실 바닥 타일 단차, ○○타일 확인.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23</xdr:row>
      <xdr:rowOff>76200</xdr:rowOff>
    </xdr:from>
    <xdr:to>
      <xdr:col>6</xdr:col>
      <xdr:colOff>2486025</xdr:colOff>
      <xdr:row>23</xdr:row>
      <xdr:rowOff>1447800</xdr:rowOff>
    </xdr:to>
    <xdr:pic>
      <xdr:nvPicPr>
        <xdr:cNvPr id="20" name="현장사진 20" descr="101동 1203호 안방 안방 벽지 들뜸, ○○도배 보수.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24</xdr:row>
      <xdr:rowOff>76200</xdr:rowOff>
    </xdr:from>
    <xdr:to>
      <xdr:col>6</xdr:col>
      <xdr:colOff>2486025</xdr:colOff>
      <xdr:row>24</xdr:row>
      <xdr:rowOff>1447800</xdr:rowOff>
    </xdr:to>
    <xdr:pic>
      <xdr:nvPicPr>
        <xdr:cNvPr id="21" name="현장사진 21" descr="102동 803호 욕실 욕실 벽 타일 들뜸, ○○타일 보수.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25</xdr:row>
      <xdr:rowOff>76200</xdr:rowOff>
    </xdr:from>
    <xdr:to>
      <xdr:col>6</xdr:col>
      <xdr:colOff>2486025</xdr:colOff>
      <xdr:row>25</xdr:row>
      <xdr:rowOff>1447800</xdr:rowOff>
    </xdr:to>
    <xdr:pic>
      <xdr:nvPicPr>
        <xdr:cNvPr id="22" name="현장사진 22" descr="101동 1204호 욕실 욕실 바닥 타일 단차, ○○타일 확인.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26</xdr:row>
      <xdr:rowOff>76200</xdr:rowOff>
    </xdr:from>
    <xdr:to>
      <xdr:col>6</xdr:col>
      <xdr:colOff>2486025</xdr:colOff>
      <xdr:row>26</xdr:row>
      <xdr:rowOff>1447800</xdr:rowOff>
    </xdr:to>
    <xdr:pic>
      <xdr:nvPicPr>
        <xdr:cNvPr id="23" name="현장사진 23" descr="101동 1203호 욕실 욕실 바닥 타일 단차, ○○타일 확인.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27</xdr:row>
      <xdr:rowOff>76200</xdr:rowOff>
    </xdr:from>
    <xdr:to>
      <xdr:col>6</xdr:col>
      <xdr:colOff>2486025</xdr:colOff>
      <xdr:row>27</xdr:row>
      <xdr:rowOff>1447800</xdr:rowOff>
    </xdr:to>
    <xdr:pic>
      <xdr:nvPicPr>
        <xdr:cNvPr id="24" name="현장사진 24" descr="101동 1303호 현관 현관 몰딩 이음부 틈새, ○○내장 보수.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28</xdr:row>
      <xdr:rowOff>76200</xdr:rowOff>
    </xdr:from>
    <xdr:to>
      <xdr:col>6</xdr:col>
      <xdr:colOff>2486025</xdr:colOff>
      <xdr:row>28</xdr:row>
      <xdr:rowOff>1447800</xdr:rowOff>
    </xdr:to>
    <xdr:pic>
      <xdr:nvPicPr>
        <xdr:cNvPr id="25" name="현장사진 25" descr="101동 1204호 주방 주방 싱크대 문짝 찍힘, ○○가구 보수.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29</xdr:row>
      <xdr:rowOff>76200</xdr:rowOff>
    </xdr:from>
    <xdr:to>
      <xdr:col>6</xdr:col>
      <xdr:colOff>2486025</xdr:colOff>
      <xdr:row>29</xdr:row>
      <xdr:rowOff>1447800</xdr:rowOff>
    </xdr:to>
    <xdr:pic>
      <xdr:nvPicPr>
        <xdr:cNvPr id="26" name="현장사진 26" descr="101동 1203호 거실 거실 벽지 들뜸, ○○도배 보수.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30</xdr:row>
      <xdr:rowOff>76200</xdr:rowOff>
    </xdr:from>
    <xdr:to>
      <xdr:col>6</xdr:col>
      <xdr:colOff>2486025</xdr:colOff>
      <xdr:row>30</xdr:row>
      <xdr:rowOff>1447800</xdr:rowOff>
    </xdr:to>
    <xdr:pic>
      <xdr:nvPicPr>
        <xdr:cNvPr id="27" name="현장사진 27" descr="102동 803호 거실 거실 창호 하부 코킹 누락, ○○창호 보수.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31</xdr:row>
      <xdr:rowOff>76200</xdr:rowOff>
    </xdr:from>
    <xdr:to>
      <xdr:col>6</xdr:col>
      <xdr:colOff>2486025</xdr:colOff>
      <xdr:row>31</xdr:row>
      <xdr:rowOff>1447800</xdr:rowOff>
    </xdr:to>
    <xdr:pic>
      <xdr:nvPicPr>
        <xdr:cNvPr id="28" name="현장사진 28" descr="102동 903호 욕실 욕실 바닥 타일 단차, ○○타일 확인.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32</xdr:row>
      <xdr:rowOff>76200</xdr:rowOff>
    </xdr:from>
    <xdr:to>
      <xdr:col>6</xdr:col>
      <xdr:colOff>2486025</xdr:colOff>
      <xdr:row>32</xdr:row>
      <xdr:rowOff>1447800</xdr:rowOff>
    </xdr:to>
    <xdr:pic>
      <xdr:nvPicPr>
        <xdr:cNvPr id="29" name="현장사진 29" descr="102동 803호 안방 안방 문선 찍힘, ○○내장 보수.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33</xdr:row>
      <xdr:rowOff>76200</xdr:rowOff>
    </xdr:from>
    <xdr:to>
      <xdr:col>6</xdr:col>
      <xdr:colOff>2486025</xdr:colOff>
      <xdr:row>33</xdr:row>
      <xdr:rowOff>1447800</xdr:rowOff>
    </xdr:to>
    <xdr:pic>
      <xdr:nvPicPr>
        <xdr:cNvPr id="30" name="현장사진 30" descr="102동 804호 주방 주방 걸레받이 미시공, ○○가구 확인.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34</xdr:row>
      <xdr:rowOff>76200</xdr:rowOff>
    </xdr:from>
    <xdr:to>
      <xdr:col>6</xdr:col>
      <xdr:colOff>2486025</xdr:colOff>
      <xdr:row>34</xdr:row>
      <xdr:rowOff>1447800</xdr:rowOff>
    </xdr:to>
    <xdr:pic>
      <xdr:nvPicPr>
        <xdr:cNvPr id="31" name="현장사진 31" descr="101동 1204호 거실 거실 창호 하부 코킹 누락, ○○창호 보수.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35</xdr:row>
      <xdr:rowOff>76200</xdr:rowOff>
    </xdr:from>
    <xdr:to>
      <xdr:col>6</xdr:col>
      <xdr:colOff>2486025</xdr:colOff>
      <xdr:row>35</xdr:row>
      <xdr:rowOff>1447800</xdr:rowOff>
    </xdr:to>
    <xdr:pic>
      <xdr:nvPicPr>
        <xdr:cNvPr id="32" name="현장사진 32" descr="102동 803호 욕실 욕실 바닥 타일 단차, ○○타일 확인.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36</xdr:row>
      <xdr:rowOff>76200</xdr:rowOff>
    </xdr:from>
    <xdr:to>
      <xdr:col>6</xdr:col>
      <xdr:colOff>2486025</xdr:colOff>
      <xdr:row>36</xdr:row>
      <xdr:rowOff>1447800</xdr:rowOff>
    </xdr:to>
    <xdr:pic>
      <xdr:nvPicPr>
        <xdr:cNvPr id="33" name="현장사진 33" descr="102동 804호 작은방 작은방 콘센트 미설치, ○○전기 확인.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37</xdr:row>
      <xdr:rowOff>76200</xdr:rowOff>
    </xdr:from>
    <xdr:to>
      <xdr:col>6</xdr:col>
      <xdr:colOff>2486025</xdr:colOff>
      <xdr:row>37</xdr:row>
      <xdr:rowOff>1447800</xdr:rowOff>
    </xdr:to>
    <xdr:pic>
      <xdr:nvPicPr>
        <xdr:cNvPr id="34" name="현장사진 34" descr="101동 1303호 주방 주방 걸레받이 미시공, ○○가구 확인.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38</xdr:row>
      <xdr:rowOff>76200</xdr:rowOff>
    </xdr:from>
    <xdr:to>
      <xdr:col>6</xdr:col>
      <xdr:colOff>2486025</xdr:colOff>
      <xdr:row>38</xdr:row>
      <xdr:rowOff>1447800</xdr:rowOff>
    </xdr:to>
    <xdr:pic>
      <xdr:nvPicPr>
        <xdr:cNvPr id="35" name="현장사진 35" descr="102동 804호 욕실 욕실 벽 타일 들뜸, ○○타일 보수.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  <xdr:twoCellAnchor editAs="twoCell">
    <xdr:from>
      <xdr:col>6</xdr:col>
      <xdr:colOff>104775</xdr:colOff>
      <xdr:row>39</xdr:row>
      <xdr:rowOff>76200</xdr:rowOff>
    </xdr:from>
    <xdr:to>
      <xdr:col>6</xdr:col>
      <xdr:colOff>2486025</xdr:colOff>
      <xdr:row>39</xdr:row>
      <xdr:rowOff>1447800</xdr:rowOff>
    </xdr:to>
    <xdr:pic>
      <xdr:nvPicPr>
        <xdr:cNvPr id="36" name="현장사진 36" descr="101동 1204호 욕실 욕실 바닥 타일 단차, ○○타일 확인.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0" y="0"/>
          <a:ext cx="2381250" cy="137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Id="rIdImages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24"/>
  <cols>
    <col min="1" max="1" width="14" customWidth="1"/>
    <col min="2" max="2" width="22" customWidth="1"/>
    <col min="3" max="3" width="17" customWidth="1"/>
    <col min="4" max="4" width="17" customWidth="1"/>
    <col min="5" max="5" width="48" customWidth="1"/>
    <col min="6" max="6" width="34" customWidth="1"/>
    <col min="7" max="7" width="38" customWidth="1"/>
  </cols>
  <sheetData>
    <row r="1" ht="38" customHeight="1">
      <c r="A1" s="9" t="inlineStr">
        <is>
          <t xml:space="preserve">현장노트 · 사진 등록목록</t>
        </is>
      </c>
    </row>
    <row r="2" ht="34" customHeight="1">
      <c r="A2" s="12" t="inlineStr">
        <is>
          <t xml:space="preserve">등록 목록 조회 범위 · 36건 · 체험 예시 · 실제 현장 아님 · 생성 2026-10-14 (한국시간) · 자동 분류는 확인 필요</t>
        </is>
      </c>
    </row>
    <row r="3" ht="10" customHeight="1"/>
    <row r="4" ht="30" customHeight="1">
      <c r="A4" s="16" t="inlineStr">
        <is>
          <t xml:space="preserve">날짜</t>
        </is>
      </c>
      <c r="B4" s="16" t="inlineStr">
        <is>
          <t xml:space="preserve">동호수</t>
        </is>
      </c>
      <c r="C4" s="16" t="inlineStr">
        <is>
          <t xml:space="preserve">위치</t>
        </is>
      </c>
      <c r="D4" s="16" t="inlineStr">
        <is>
          <t xml:space="preserve">공종</t>
        </is>
      </c>
      <c r="E4" s="16" t="inlineStr">
        <is>
          <t xml:space="preserve">내용</t>
        </is>
      </c>
      <c r="F4" s="16" t="inlineStr">
        <is>
          <t xml:space="preserve">비고</t>
        </is>
      </c>
      <c r="G4" s="16" t="inlineStr">
        <is>
          <t xml:space="preserve">해당사진</t>
        </is>
      </c>
    </row>
    <row r="5" ht="120" customHeight="1">
      <c r="A5" s="22">
        <v>46303</v>
      </c>
      <c r="B5" s="24" t="inlineStr">
        <is>
          <t xml:space="preserve">102동 803호</t>
        </is>
      </c>
      <c r="C5" s="24" t="inlineStr">
        <is>
          <t xml:space="preserve">현관</t>
        </is>
      </c>
      <c r="D5" s="24" t="inlineStr">
        <is>
          <t xml:space="preserve">내장</t>
        </is>
      </c>
      <c r="E5" s="25" t="inlineStr">
        <is>
          <t xml:space="preserve">현관 몰딩 이음부 틈새, ○○내장 보수.</t>
        </is>
      </c>
      <c r="F5" s="25" t="inlineStr">
        <is>
          <t xml:space="preserve">체험 예시 · 실제 현장 아님 / 자동 분류 · 확인 전</t>
        </is>
      </c>
      <c r="G5" s="24" t="inlineStr">
        <is>
          <t xml:space="preserve"/>
        </is>
      </c>
    </row>
    <row r="6" ht="120" customHeight="1">
      <c r="A6" s="28">
        <v>46303</v>
      </c>
      <c r="B6" s="29" t="inlineStr">
        <is>
          <t xml:space="preserve">102동 903호</t>
        </is>
      </c>
      <c r="C6" s="29" t="inlineStr">
        <is>
          <t xml:space="preserve">안방</t>
        </is>
      </c>
      <c r="D6" s="29" t="inlineStr">
        <is>
          <t xml:space="preserve">도배</t>
        </is>
      </c>
      <c r="E6" s="30" t="inlineStr">
        <is>
          <t xml:space="preserve">안방 벽지 들뜸, ○○도배 보수.</t>
        </is>
      </c>
      <c r="F6" s="30" t="inlineStr">
        <is>
          <t xml:space="preserve">체험 예시 · 실제 현장 아님 / 자동 분류 · 확인 전</t>
        </is>
      </c>
      <c r="G6" s="29" t="inlineStr">
        <is>
          <t xml:space="preserve"/>
        </is>
      </c>
    </row>
    <row r="7" ht="120" customHeight="1">
      <c r="A7" s="22">
        <v>46303</v>
      </c>
      <c r="B7" s="24" t="inlineStr">
        <is>
          <t xml:space="preserve">101동 1204호</t>
        </is>
      </c>
      <c r="C7" s="24" t="inlineStr">
        <is>
          <t xml:space="preserve">거실</t>
        </is>
      </c>
      <c r="D7" s="24" t="inlineStr">
        <is>
          <t xml:space="preserve">도배</t>
        </is>
      </c>
      <c r="E7" s="25" t="inlineStr">
        <is>
          <t xml:space="preserve">거실 벽지 들뜸, ○○도배 보수.</t>
        </is>
      </c>
      <c r="F7" s="25" t="inlineStr">
        <is>
          <t xml:space="preserve">체험 예시 · 실제 현장 아님 / 자동 분류 · 확인 전</t>
        </is>
      </c>
      <c r="G7" s="24" t="inlineStr">
        <is>
          <t xml:space="preserve"/>
        </is>
      </c>
    </row>
    <row r="8" ht="120" customHeight="1">
      <c r="A8" s="28">
        <v>46303</v>
      </c>
      <c r="B8" s="29" t="inlineStr">
        <is>
          <t xml:space="preserve">102동 804호</t>
        </is>
      </c>
      <c r="C8" s="29" t="inlineStr">
        <is>
          <t xml:space="preserve">거실</t>
        </is>
      </c>
      <c r="D8" s="29" t="inlineStr">
        <is>
          <t xml:space="preserve">창호</t>
        </is>
      </c>
      <c r="E8" s="30" t="inlineStr">
        <is>
          <t xml:space="preserve">거실 창호 하부 코킹 누락, ○○창호 보수.</t>
        </is>
      </c>
      <c r="F8" s="30" t="inlineStr">
        <is>
          <t xml:space="preserve">체험 예시 · 실제 현장 아님 / 자동 분류 · 확인 전</t>
        </is>
      </c>
      <c r="G8" s="29" t="inlineStr">
        <is>
          <t xml:space="preserve"/>
        </is>
      </c>
    </row>
    <row r="9" ht="120" customHeight="1">
      <c r="A9" s="22">
        <v>46303</v>
      </c>
      <c r="B9" s="24" t="inlineStr">
        <is>
          <t xml:space="preserve">101동 1303호</t>
        </is>
      </c>
      <c r="C9" s="24" t="inlineStr">
        <is>
          <t xml:space="preserve">욕실</t>
        </is>
      </c>
      <c r="D9" s="24" t="inlineStr">
        <is>
          <t xml:space="preserve">타일</t>
        </is>
      </c>
      <c r="E9" s="25" t="inlineStr">
        <is>
          <t xml:space="preserve">욕실 벽 타일 들뜸, ○○타일 보수.</t>
        </is>
      </c>
      <c r="F9" s="25" t="inlineStr">
        <is>
          <t xml:space="preserve">체험 예시 · 실제 현장 아님 / 자동 분류 · 확인 전</t>
        </is>
      </c>
      <c r="G9" s="24" t="inlineStr">
        <is>
          <t xml:space="preserve"/>
        </is>
      </c>
    </row>
    <row r="10" ht="120" customHeight="1">
      <c r="A10" s="28">
        <v>46303</v>
      </c>
      <c r="B10" s="29" t="inlineStr">
        <is>
          <t xml:space="preserve">101동 1203호</t>
        </is>
      </c>
      <c r="C10" s="29" t="inlineStr">
        <is>
          <t xml:space="preserve">욕실</t>
        </is>
      </c>
      <c r="D10" s="29" t="inlineStr">
        <is>
          <t xml:space="preserve">타일</t>
        </is>
      </c>
      <c r="E10" s="30" t="inlineStr">
        <is>
          <t xml:space="preserve">욕실 바닥 타일 단차, ○○타일 확인.</t>
        </is>
      </c>
      <c r="F10" s="30" t="inlineStr">
        <is>
          <t xml:space="preserve">체험 예시 · 실제 현장 아님 / 자동 분류 · 확인 전</t>
        </is>
      </c>
      <c r="G10" s="29" t="inlineStr">
        <is>
          <t xml:space="preserve"/>
        </is>
      </c>
    </row>
    <row r="11" ht="120" customHeight="1">
      <c r="A11" s="22">
        <v>46304</v>
      </c>
      <c r="B11" s="24" t="inlineStr">
        <is>
          <t xml:space="preserve">101동 1204호</t>
        </is>
      </c>
      <c r="C11" s="24" t="inlineStr">
        <is>
          <t xml:space="preserve">현관</t>
        </is>
      </c>
      <c r="D11" s="24" t="inlineStr">
        <is>
          <t xml:space="preserve">내장</t>
        </is>
      </c>
      <c r="E11" s="25" t="inlineStr">
        <is>
          <t xml:space="preserve">현관 몰딩 이음부 틈새, ○○내장 보수.</t>
        </is>
      </c>
      <c r="F11" s="25" t="inlineStr">
        <is>
          <t xml:space="preserve">체험 예시 · 실제 현장 아님 / 자동 분류 · 확인 전</t>
        </is>
      </c>
      <c r="G11" s="24" t="inlineStr">
        <is>
          <t xml:space="preserve"/>
        </is>
      </c>
    </row>
    <row r="12" ht="120" customHeight="1">
      <c r="A12" s="28">
        <v>46304</v>
      </c>
      <c r="B12" s="29" t="inlineStr">
        <is>
          <t xml:space="preserve">102동 804호</t>
        </is>
      </c>
      <c r="C12" s="29" t="inlineStr">
        <is>
          <t xml:space="preserve">안방</t>
        </is>
      </c>
      <c r="D12" s="29" t="inlineStr">
        <is>
          <t xml:space="preserve">내장</t>
        </is>
      </c>
      <c r="E12" s="30" t="inlineStr">
        <is>
          <t xml:space="preserve">안방 문선 찍힘, ○○내장 보수.</t>
        </is>
      </c>
      <c r="F12" s="30" t="inlineStr">
        <is>
          <t xml:space="preserve">체험 예시 · 실제 현장 아님 / 자동 분류 · 확인 전</t>
        </is>
      </c>
      <c r="G12" s="29" t="inlineStr">
        <is>
          <t xml:space="preserve"/>
        </is>
      </c>
    </row>
    <row r="13" ht="120" customHeight="1">
      <c r="A13" s="22">
        <v>46304</v>
      </c>
      <c r="B13" s="24" t="inlineStr">
        <is>
          <t xml:space="preserve">101동 1203호</t>
        </is>
      </c>
      <c r="C13" s="24" t="inlineStr">
        <is>
          <t xml:space="preserve">주방</t>
        </is>
      </c>
      <c r="D13" s="24" t="inlineStr">
        <is>
          <t xml:space="preserve">가구</t>
        </is>
      </c>
      <c r="E13" s="25" t="inlineStr">
        <is>
          <t xml:space="preserve">주방 싱크대 문짝 찍힘, ○○가구 보수.</t>
        </is>
      </c>
      <c r="F13" s="25" t="inlineStr">
        <is>
          <t xml:space="preserve">체험 예시 · 실제 현장 아님 / 자동 분류 · 확인 전</t>
        </is>
      </c>
      <c r="G13" s="24" t="inlineStr">
        <is>
          <t xml:space="preserve"/>
        </is>
      </c>
    </row>
    <row r="14" ht="120" customHeight="1">
      <c r="A14" s="28">
        <v>46304</v>
      </c>
      <c r="B14" s="29" t="inlineStr">
        <is>
          <t xml:space="preserve">102동 903호</t>
        </is>
      </c>
      <c r="C14" s="29" t="inlineStr">
        <is>
          <t xml:space="preserve">주방</t>
        </is>
      </c>
      <c r="D14" s="29" t="inlineStr">
        <is>
          <t xml:space="preserve">가구</t>
        </is>
      </c>
      <c r="E14" s="30" t="inlineStr">
        <is>
          <t xml:space="preserve">주방 걸레받이 미시공, ○○가구 확인.</t>
        </is>
      </c>
      <c r="F14" s="30" t="inlineStr">
        <is>
          <t xml:space="preserve">체험 예시 · 실제 현장 아님 / 자동 분류 · 확인 전</t>
        </is>
      </c>
      <c r="G14" s="29" t="inlineStr">
        <is>
          <t xml:space="preserve"/>
        </is>
      </c>
    </row>
    <row r="15" ht="120" customHeight="1">
      <c r="A15" s="22">
        <v>46304</v>
      </c>
      <c r="B15" s="24" t="inlineStr">
        <is>
          <t xml:space="preserve">102동 903호</t>
        </is>
      </c>
      <c r="C15" s="24" t="inlineStr">
        <is>
          <t xml:space="preserve">거실</t>
        </is>
      </c>
      <c r="D15" s="24" t="inlineStr">
        <is>
          <t xml:space="preserve">도배</t>
        </is>
      </c>
      <c r="E15" s="25" t="inlineStr">
        <is>
          <t xml:space="preserve">거실 벽지 들뜸, ○○도배 보수.</t>
        </is>
      </c>
      <c r="F15" s="25" t="inlineStr">
        <is>
          <t xml:space="preserve">체험 예시 · 실제 현장 아님 / 자동 분류 · 확인 전</t>
        </is>
      </c>
      <c r="G15" s="24" t="inlineStr">
        <is>
          <t xml:space="preserve"/>
        </is>
      </c>
    </row>
    <row r="16" ht="120" customHeight="1">
      <c r="A16" s="28">
        <v>46304</v>
      </c>
      <c r="B16" s="29" t="inlineStr">
        <is>
          <t xml:space="preserve">101동 1303호</t>
        </is>
      </c>
      <c r="C16" s="29" t="inlineStr">
        <is>
          <t xml:space="preserve">거실</t>
        </is>
      </c>
      <c r="D16" s="29" t="inlineStr">
        <is>
          <t xml:space="preserve">창호</t>
        </is>
      </c>
      <c r="E16" s="30" t="inlineStr">
        <is>
          <t xml:space="preserve">거실 창호 하부 코킹 누락, ○○창호 보수.</t>
        </is>
      </c>
      <c r="F16" s="30" t="inlineStr">
        <is>
          <t xml:space="preserve">체험 예시 · 실제 현장 아님 / 자동 분류 · 확인 전</t>
        </is>
      </c>
      <c r="G16" s="29" t="inlineStr">
        <is>
          <t xml:space="preserve"/>
        </is>
      </c>
    </row>
    <row r="17" ht="120" customHeight="1">
      <c r="A17" s="22">
        <v>46304</v>
      </c>
      <c r="B17" s="24" t="inlineStr">
        <is>
          <t xml:space="preserve">102동 804호</t>
        </is>
      </c>
      <c r="C17" s="24" t="inlineStr">
        <is>
          <t xml:space="preserve">욕실</t>
        </is>
      </c>
      <c r="D17" s="24" t="inlineStr">
        <is>
          <t xml:space="preserve">타일</t>
        </is>
      </c>
      <c r="E17" s="25" t="inlineStr">
        <is>
          <t xml:space="preserve">욕실 바닥 타일 단차, ○○타일 확인.</t>
        </is>
      </c>
      <c r="F17" s="25" t="inlineStr">
        <is>
          <t xml:space="preserve">체험 예시 · 실제 현장 아님 / 자동 분류 · 확인 전</t>
        </is>
      </c>
      <c r="G17" s="24" t="inlineStr">
        <is>
          <t xml:space="preserve"/>
        </is>
      </c>
    </row>
    <row r="18" ht="120" customHeight="1">
      <c r="A18" s="28">
        <v>46305</v>
      </c>
      <c r="B18" s="29" t="inlineStr">
        <is>
          <t xml:space="preserve">102동 903호</t>
        </is>
      </c>
      <c r="C18" s="29" t="inlineStr">
        <is>
          <t xml:space="preserve">작은방</t>
        </is>
      </c>
      <c r="D18" s="29" t="inlineStr">
        <is>
          <t xml:space="preserve">전기</t>
        </is>
      </c>
      <c r="E18" s="30" t="inlineStr">
        <is>
          <t xml:space="preserve">작은방 콘센트 미설치, ○○전기 확인.</t>
        </is>
      </c>
      <c r="F18" s="30" t="inlineStr">
        <is>
          <t xml:space="preserve">체험 예시 · 실제 현장 아님 / 자동 분류 · 확인 전</t>
        </is>
      </c>
      <c r="G18" s="29" t="inlineStr">
        <is>
          <t xml:space="preserve"/>
        </is>
      </c>
    </row>
    <row r="19" ht="120" customHeight="1">
      <c r="A19" s="22">
        <v>46305</v>
      </c>
      <c r="B19" s="24" t="inlineStr">
        <is>
          <t xml:space="preserve">101동 1303호</t>
        </is>
      </c>
      <c r="C19" s="24" t="inlineStr">
        <is>
          <t xml:space="preserve">안방</t>
        </is>
      </c>
      <c r="D19" s="24" t="inlineStr">
        <is>
          <t xml:space="preserve">내장</t>
        </is>
      </c>
      <c r="E19" s="25" t="inlineStr">
        <is>
          <t xml:space="preserve">안방 문선 찍힘, ○○내장 보수.</t>
        </is>
      </c>
      <c r="F19" s="25" t="inlineStr">
        <is>
          <t xml:space="preserve">체험 예시 · 실제 현장 아님 / 자동 분류 · 확인 전</t>
        </is>
      </c>
      <c r="G19" s="24" t="inlineStr">
        <is>
          <t xml:space="preserve"/>
        </is>
      </c>
    </row>
    <row r="20" ht="120" customHeight="1">
      <c r="A20" s="28">
        <v>46305</v>
      </c>
      <c r="B20" s="29" t="inlineStr">
        <is>
          <t xml:space="preserve">102동 803호</t>
        </is>
      </c>
      <c r="C20" s="29" t="inlineStr">
        <is>
          <t xml:space="preserve">주방</t>
        </is>
      </c>
      <c r="D20" s="29" t="inlineStr">
        <is>
          <t xml:space="preserve">가구</t>
        </is>
      </c>
      <c r="E20" s="30" t="inlineStr">
        <is>
          <t xml:space="preserve">주방 걸레받이 미시공, ○○가구 확인.</t>
        </is>
      </c>
      <c r="F20" s="30" t="inlineStr">
        <is>
          <t xml:space="preserve">체험 예시 · 실제 현장 아님 / 자동 분류 · 확인 전</t>
        </is>
      </c>
      <c r="G20" s="29" t="inlineStr">
        <is>
          <t xml:space="preserve"/>
        </is>
      </c>
    </row>
    <row r="21" ht="120" customHeight="1">
      <c r="A21" s="22">
        <v>46305</v>
      </c>
      <c r="B21" s="24" t="inlineStr">
        <is>
          <t xml:space="preserve">101동 1203호</t>
        </is>
      </c>
      <c r="C21" s="24" t="inlineStr">
        <is>
          <t xml:space="preserve">거실</t>
        </is>
      </c>
      <c r="D21" s="24" t="inlineStr">
        <is>
          <t xml:space="preserve">창호</t>
        </is>
      </c>
      <c r="E21" s="25" t="inlineStr">
        <is>
          <t xml:space="preserve">거실 창호 하부 코킹 누락, ○○창호 보수.</t>
        </is>
      </c>
      <c r="F21" s="25" t="inlineStr">
        <is>
          <t xml:space="preserve">체험 예시 · 실제 현장 아님 / 자동 분류 · 확인 전</t>
        </is>
      </c>
      <c r="G21" s="24" t="inlineStr">
        <is>
          <t xml:space="preserve"/>
        </is>
      </c>
    </row>
    <row r="22" ht="120" customHeight="1">
      <c r="A22" s="28">
        <v>46305</v>
      </c>
      <c r="B22" s="29" t="inlineStr">
        <is>
          <t xml:space="preserve">102동 903호</t>
        </is>
      </c>
      <c r="C22" s="29" t="inlineStr">
        <is>
          <t xml:space="preserve">욕실</t>
        </is>
      </c>
      <c r="D22" s="29" t="inlineStr">
        <is>
          <t xml:space="preserve">타일</t>
        </is>
      </c>
      <c r="E22" s="30" t="inlineStr">
        <is>
          <t xml:space="preserve">욕실 벽 타일 들뜸, ○○타일 보수.</t>
        </is>
      </c>
      <c r="F22" s="30" t="inlineStr">
        <is>
          <t xml:space="preserve">체험 예시 · 실제 현장 아님 / 자동 분류 · 확인 전</t>
        </is>
      </c>
      <c r="G22" s="29" t="inlineStr">
        <is>
          <t xml:space="preserve"/>
        </is>
      </c>
    </row>
    <row r="23" ht="120" customHeight="1">
      <c r="A23" s="22">
        <v>46305</v>
      </c>
      <c r="B23" s="24" t="inlineStr">
        <is>
          <t xml:space="preserve">101동 1303호</t>
        </is>
      </c>
      <c r="C23" s="24" t="inlineStr">
        <is>
          <t xml:space="preserve">욕실</t>
        </is>
      </c>
      <c r="D23" s="24" t="inlineStr">
        <is>
          <t xml:space="preserve">타일</t>
        </is>
      </c>
      <c r="E23" s="25" t="inlineStr">
        <is>
          <t xml:space="preserve">욕실 바닥 타일 단차, ○○타일 확인.</t>
        </is>
      </c>
      <c r="F23" s="25" t="inlineStr">
        <is>
          <t xml:space="preserve">체험 예시 · 실제 현장 아님 / 자동 분류 · 확인 전</t>
        </is>
      </c>
      <c r="G23" s="24" t="inlineStr">
        <is>
          <t xml:space="preserve"/>
        </is>
      </c>
    </row>
    <row r="24" ht="120" customHeight="1">
      <c r="A24" s="28">
        <v>46306</v>
      </c>
      <c r="B24" s="29" t="inlineStr">
        <is>
          <t xml:space="preserve">101동 1203호</t>
        </is>
      </c>
      <c r="C24" s="29" t="inlineStr">
        <is>
          <t xml:space="preserve">안방</t>
        </is>
      </c>
      <c r="D24" s="29" t="inlineStr">
        <is>
          <t xml:space="preserve">도배</t>
        </is>
      </c>
      <c r="E24" s="30" t="inlineStr">
        <is>
          <t xml:space="preserve">안방 벽지 들뜸, ○○도배 보수.</t>
        </is>
      </c>
      <c r="F24" s="30" t="inlineStr">
        <is>
          <t xml:space="preserve">체험 예시 · 실제 현장 아님 / 자동 분류 · 확인 전</t>
        </is>
      </c>
      <c r="G24" s="29" t="inlineStr">
        <is>
          <t xml:space="preserve"/>
        </is>
      </c>
    </row>
    <row r="25" ht="120" customHeight="1">
      <c r="A25" s="22">
        <v>46306</v>
      </c>
      <c r="B25" s="24" t="inlineStr">
        <is>
          <t xml:space="preserve">102동 803호</t>
        </is>
      </c>
      <c r="C25" s="24" t="inlineStr">
        <is>
          <t xml:space="preserve">욕실</t>
        </is>
      </c>
      <c r="D25" s="24" t="inlineStr">
        <is>
          <t xml:space="preserve">타일</t>
        </is>
      </c>
      <c r="E25" s="25" t="inlineStr">
        <is>
          <t xml:space="preserve">욕실 벽 타일 들뜸, ○○타일 보수.</t>
        </is>
      </c>
      <c r="F25" s="25" t="inlineStr">
        <is>
          <t xml:space="preserve">체험 예시 · 실제 현장 아님 / 자동 분류 · 확인 전</t>
        </is>
      </c>
      <c r="G25" s="24" t="inlineStr">
        <is>
          <t xml:space="preserve"/>
        </is>
      </c>
    </row>
    <row r="26" ht="120" customHeight="1">
      <c r="A26" s="28">
        <v>46306</v>
      </c>
      <c r="B26" s="29" t="inlineStr">
        <is>
          <t xml:space="preserve">101동 1204호</t>
        </is>
      </c>
      <c r="C26" s="29" t="inlineStr">
        <is>
          <t xml:space="preserve">욕실</t>
        </is>
      </c>
      <c r="D26" s="29" t="inlineStr">
        <is>
          <t xml:space="preserve">타일</t>
        </is>
      </c>
      <c r="E26" s="30" t="inlineStr">
        <is>
          <t xml:space="preserve">욕실 바닥 타일 단차, ○○타일 확인.</t>
        </is>
      </c>
      <c r="F26" s="30" t="inlineStr">
        <is>
          <t xml:space="preserve">체험 예시 · 실제 현장 아님 / 자동 분류 · 확인 전</t>
        </is>
      </c>
      <c r="G26" s="29" t="inlineStr">
        <is>
          <t xml:space="preserve"/>
        </is>
      </c>
    </row>
    <row r="27" ht="120" customHeight="1">
      <c r="A27" s="22">
        <v>46306</v>
      </c>
      <c r="B27" s="24" t="inlineStr">
        <is>
          <t xml:space="preserve">101동 1203호</t>
        </is>
      </c>
      <c r="C27" s="24" t="inlineStr">
        <is>
          <t xml:space="preserve">욕실</t>
        </is>
      </c>
      <c r="D27" s="24" t="inlineStr">
        <is>
          <t xml:space="preserve">타일</t>
        </is>
      </c>
      <c r="E27" s="25" t="inlineStr">
        <is>
          <t xml:space="preserve">욕실 바닥 타일 단차, ○○타일 확인.</t>
        </is>
      </c>
      <c r="F27" s="25" t="inlineStr">
        <is>
          <t xml:space="preserve">체험 예시 · 실제 현장 아님 / 자동 분류 · 확인 전</t>
        </is>
      </c>
      <c r="G27" s="24" t="inlineStr">
        <is>
          <t xml:space="preserve"/>
        </is>
      </c>
    </row>
    <row r="28" ht="120" customHeight="1">
      <c r="A28" s="28">
        <v>46307</v>
      </c>
      <c r="B28" s="29" t="inlineStr">
        <is>
          <t xml:space="preserve">101동 1303호</t>
        </is>
      </c>
      <c r="C28" s="29" t="inlineStr">
        <is>
          <t xml:space="preserve">현관</t>
        </is>
      </c>
      <c r="D28" s="29" t="inlineStr">
        <is>
          <t xml:space="preserve">내장</t>
        </is>
      </c>
      <c r="E28" s="30" t="inlineStr">
        <is>
          <t xml:space="preserve">현관 몰딩 이음부 틈새, ○○내장 보수.</t>
        </is>
      </c>
      <c r="F28" s="30" t="inlineStr">
        <is>
          <t xml:space="preserve">체험 예시 · 실제 현장 아님 / 자동 분류 · 확인 전</t>
        </is>
      </c>
      <c r="G28" s="29" t="inlineStr">
        <is>
          <t xml:space="preserve"/>
        </is>
      </c>
    </row>
    <row r="29" ht="120" customHeight="1">
      <c r="A29" s="22">
        <v>46307</v>
      </c>
      <c r="B29" s="24" t="inlineStr">
        <is>
          <t xml:space="preserve">101동 1204호</t>
        </is>
      </c>
      <c r="C29" s="24" t="inlineStr">
        <is>
          <t xml:space="preserve">주방</t>
        </is>
      </c>
      <c r="D29" s="24" t="inlineStr">
        <is>
          <t xml:space="preserve">가구</t>
        </is>
      </c>
      <c r="E29" s="25" t="inlineStr">
        <is>
          <t xml:space="preserve">주방 싱크대 문짝 찍힘, ○○가구 보수.</t>
        </is>
      </c>
      <c r="F29" s="25" t="inlineStr">
        <is>
          <t xml:space="preserve">체험 예시 · 실제 현장 아님 / 자동 분류 · 확인 전</t>
        </is>
      </c>
      <c r="G29" s="24" t="inlineStr">
        <is>
          <t xml:space="preserve"/>
        </is>
      </c>
    </row>
    <row r="30" ht="120" customHeight="1">
      <c r="A30" s="28">
        <v>46307</v>
      </c>
      <c r="B30" s="29" t="inlineStr">
        <is>
          <t xml:space="preserve">101동 1203호</t>
        </is>
      </c>
      <c r="C30" s="29" t="inlineStr">
        <is>
          <t xml:space="preserve">거실</t>
        </is>
      </c>
      <c r="D30" s="29" t="inlineStr">
        <is>
          <t xml:space="preserve">도배</t>
        </is>
      </c>
      <c r="E30" s="30" t="inlineStr">
        <is>
          <t xml:space="preserve">거실 벽지 들뜸, ○○도배 보수.</t>
        </is>
      </c>
      <c r="F30" s="30" t="inlineStr">
        <is>
          <t xml:space="preserve">체험 예시 · 실제 현장 아님 / 자동 분류 · 확인 전</t>
        </is>
      </c>
      <c r="G30" s="29" t="inlineStr">
        <is>
          <t xml:space="preserve"/>
        </is>
      </c>
    </row>
    <row r="31" ht="120" customHeight="1">
      <c r="A31" s="22">
        <v>46307</v>
      </c>
      <c r="B31" s="24" t="inlineStr">
        <is>
          <t xml:space="preserve">102동 803호</t>
        </is>
      </c>
      <c r="C31" s="24" t="inlineStr">
        <is>
          <t xml:space="preserve">거실</t>
        </is>
      </c>
      <c r="D31" s="24" t="inlineStr">
        <is>
          <t xml:space="preserve">창호</t>
        </is>
      </c>
      <c r="E31" s="25" t="inlineStr">
        <is>
          <t xml:space="preserve">거실 창호 하부 코킹 누락, ○○창호 보수.</t>
        </is>
      </c>
      <c r="F31" s="25" t="inlineStr">
        <is>
          <t xml:space="preserve">체험 예시 · 실제 현장 아님 / 자동 분류 · 확인 전</t>
        </is>
      </c>
      <c r="G31" s="24" t="inlineStr">
        <is>
          <t xml:space="preserve"/>
        </is>
      </c>
    </row>
    <row r="32" ht="120" customHeight="1">
      <c r="A32" s="28">
        <v>46307</v>
      </c>
      <c r="B32" s="29" t="inlineStr">
        <is>
          <t xml:space="preserve">102동 903호</t>
        </is>
      </c>
      <c r="C32" s="29" t="inlineStr">
        <is>
          <t xml:space="preserve">욕실</t>
        </is>
      </c>
      <c r="D32" s="29" t="inlineStr">
        <is>
          <t xml:space="preserve">타일</t>
        </is>
      </c>
      <c r="E32" s="30" t="inlineStr">
        <is>
          <t xml:space="preserve">욕실 바닥 타일 단차, ○○타일 확인.</t>
        </is>
      </c>
      <c r="F32" s="30" t="inlineStr">
        <is>
          <t xml:space="preserve">체험 예시 · 실제 현장 아님 / 자동 분류 · 확인 전</t>
        </is>
      </c>
      <c r="G32" s="29" t="inlineStr">
        <is>
          <t xml:space="preserve"/>
        </is>
      </c>
    </row>
    <row r="33" ht="120" customHeight="1">
      <c r="A33" s="22">
        <v>46308</v>
      </c>
      <c r="B33" s="24" t="inlineStr">
        <is>
          <t xml:space="preserve">102동 803호</t>
        </is>
      </c>
      <c r="C33" s="24" t="inlineStr">
        <is>
          <t xml:space="preserve">안방</t>
        </is>
      </c>
      <c r="D33" s="24" t="inlineStr">
        <is>
          <t xml:space="preserve">내장</t>
        </is>
      </c>
      <c r="E33" s="25" t="inlineStr">
        <is>
          <t xml:space="preserve">안방 문선 찍힘, ○○내장 보수.</t>
        </is>
      </c>
      <c r="F33" s="25" t="inlineStr">
        <is>
          <t xml:space="preserve">체험 예시 · 실제 현장 아님 / 자동 분류 · 확인 전</t>
        </is>
      </c>
      <c r="G33" s="24" t="inlineStr">
        <is>
          <t xml:space="preserve"/>
        </is>
      </c>
    </row>
    <row r="34" ht="120" customHeight="1">
      <c r="A34" s="28">
        <v>46308</v>
      </c>
      <c r="B34" s="29" t="inlineStr">
        <is>
          <t xml:space="preserve">102동 804호</t>
        </is>
      </c>
      <c r="C34" s="29" t="inlineStr">
        <is>
          <t xml:space="preserve">주방</t>
        </is>
      </c>
      <c r="D34" s="29" t="inlineStr">
        <is>
          <t xml:space="preserve">가구</t>
        </is>
      </c>
      <c r="E34" s="30" t="inlineStr">
        <is>
          <t xml:space="preserve">주방 걸레받이 미시공, ○○가구 확인.</t>
        </is>
      </c>
      <c r="F34" s="30" t="inlineStr">
        <is>
          <t xml:space="preserve">체험 예시 · 실제 현장 아님 / 자동 분류 · 확인 전</t>
        </is>
      </c>
      <c r="G34" s="29" t="inlineStr">
        <is>
          <t xml:space="preserve"/>
        </is>
      </c>
    </row>
    <row r="35" ht="120" customHeight="1">
      <c r="A35" s="22">
        <v>46308</v>
      </c>
      <c r="B35" s="24" t="inlineStr">
        <is>
          <t xml:space="preserve">101동 1204호</t>
        </is>
      </c>
      <c r="C35" s="24" t="inlineStr">
        <is>
          <t xml:space="preserve">거실</t>
        </is>
      </c>
      <c r="D35" s="24" t="inlineStr">
        <is>
          <t xml:space="preserve">창호</t>
        </is>
      </c>
      <c r="E35" s="25" t="inlineStr">
        <is>
          <t xml:space="preserve">거실 창호 하부 코킹 누락, ○○창호 보수.</t>
        </is>
      </c>
      <c r="F35" s="25" t="inlineStr">
        <is>
          <t xml:space="preserve">체험 예시 · 실제 현장 아님 / 자동 분류 · 확인 전</t>
        </is>
      </c>
      <c r="G35" s="24" t="inlineStr">
        <is>
          <t xml:space="preserve"/>
        </is>
      </c>
    </row>
    <row r="36" ht="120" customHeight="1">
      <c r="A36" s="28">
        <v>46308</v>
      </c>
      <c r="B36" s="29" t="inlineStr">
        <is>
          <t xml:space="preserve">102동 803호</t>
        </is>
      </c>
      <c r="C36" s="29" t="inlineStr">
        <is>
          <t xml:space="preserve">욕실</t>
        </is>
      </c>
      <c r="D36" s="29" t="inlineStr">
        <is>
          <t xml:space="preserve">타일</t>
        </is>
      </c>
      <c r="E36" s="30" t="inlineStr">
        <is>
          <t xml:space="preserve">욕실 바닥 타일 단차, ○○타일 확인.</t>
        </is>
      </c>
      <c r="F36" s="30" t="inlineStr">
        <is>
          <t xml:space="preserve">체험 예시 · 실제 현장 아님 / 자동 분류 · 확인 전</t>
        </is>
      </c>
      <c r="G36" s="29" t="inlineStr">
        <is>
          <t xml:space="preserve"/>
        </is>
      </c>
    </row>
    <row r="37" ht="120" customHeight="1">
      <c r="A37" s="22">
        <v>46309</v>
      </c>
      <c r="B37" s="24" t="inlineStr">
        <is>
          <t xml:space="preserve">102동 804호</t>
        </is>
      </c>
      <c r="C37" s="24" t="inlineStr">
        <is>
          <t xml:space="preserve">작은방</t>
        </is>
      </c>
      <c r="D37" s="24" t="inlineStr">
        <is>
          <t xml:space="preserve">전기</t>
        </is>
      </c>
      <c r="E37" s="25" t="inlineStr">
        <is>
          <t xml:space="preserve">작은방 콘센트 미설치, ○○전기 확인.</t>
        </is>
      </c>
      <c r="F37" s="25" t="inlineStr">
        <is>
          <t xml:space="preserve">체험 예시 · 실제 현장 아님 / 자동 분류 · 확인 전</t>
        </is>
      </c>
      <c r="G37" s="24" t="inlineStr">
        <is>
          <t xml:space="preserve"/>
        </is>
      </c>
    </row>
    <row r="38" ht="120" customHeight="1">
      <c r="A38" s="28">
        <v>46309</v>
      </c>
      <c r="B38" s="29" t="inlineStr">
        <is>
          <t xml:space="preserve">101동 1303호</t>
        </is>
      </c>
      <c r="C38" s="29" t="inlineStr">
        <is>
          <t xml:space="preserve">주방</t>
        </is>
      </c>
      <c r="D38" s="29" t="inlineStr">
        <is>
          <t xml:space="preserve">가구</t>
        </is>
      </c>
      <c r="E38" s="30" t="inlineStr">
        <is>
          <t xml:space="preserve">주방 걸레받이 미시공, ○○가구 확인.</t>
        </is>
      </c>
      <c r="F38" s="30" t="inlineStr">
        <is>
          <t xml:space="preserve">체험 예시 · 실제 현장 아님 / 자동 분류 · 확인 전</t>
        </is>
      </c>
      <c r="G38" s="29" t="inlineStr">
        <is>
          <t xml:space="preserve"/>
        </is>
      </c>
    </row>
    <row r="39" ht="120" customHeight="1">
      <c r="A39" s="22">
        <v>46309</v>
      </c>
      <c r="B39" s="24" t="inlineStr">
        <is>
          <t xml:space="preserve">102동 804호</t>
        </is>
      </c>
      <c r="C39" s="24" t="inlineStr">
        <is>
          <t xml:space="preserve">욕실</t>
        </is>
      </c>
      <c r="D39" s="24" t="inlineStr">
        <is>
          <t xml:space="preserve">타일</t>
        </is>
      </c>
      <c r="E39" s="25" t="inlineStr">
        <is>
          <t xml:space="preserve">욕실 벽 타일 들뜸, ○○타일 보수.</t>
        </is>
      </c>
      <c r="F39" s="25" t="inlineStr">
        <is>
          <t xml:space="preserve">체험 예시 · 실제 현장 아님 / 자동 분류 · 확인 전</t>
        </is>
      </c>
      <c r="G39" s="24" t="inlineStr">
        <is>
          <t xml:space="preserve"/>
        </is>
      </c>
    </row>
    <row r="40" ht="120" customHeight="1">
      <c r="A40" s="28">
        <v>46309</v>
      </c>
      <c r="B40" s="29" t="inlineStr">
        <is>
          <t xml:space="preserve">101동 1204호</t>
        </is>
      </c>
      <c r="C40" s="29" t="inlineStr">
        <is>
          <t xml:space="preserve">욕실</t>
        </is>
      </c>
      <c r="D40" s="29" t="inlineStr">
        <is>
          <t xml:space="preserve">타일</t>
        </is>
      </c>
      <c r="E40" s="30" t="inlineStr">
        <is>
          <t xml:space="preserve">욕실 바닥 타일 단차, ○○타일 확인.</t>
        </is>
      </c>
      <c r="F40" s="30" t="inlineStr">
        <is>
          <t xml:space="preserve">체험 예시 · 실제 현장 아님 / 자동 분류 · 확인 전</t>
        </is>
      </c>
      <c r="G40" s="29" t="inlineStr">
        <is>
          <t xml:space="preserve"/>
        </is>
      </c>
    </row>
  </sheetData>
  <autoFilter ref="A4:G40"/>
  <mergeCells count="2">
    <mergeCell ref="A1:G1"/>
    <mergeCell ref="A2:G2"/>
  </mergeCells>
  <printOptions horizontalCentered="1"/>
  <pageMargins left="0.25" right="0.25" top="0.35" bottom="0.35" header="0.15" footer="0.15"/>
  <pageSetup paperSize="9" orientation="landscape" fitToWidth="1" fitToHeight="0"/>
  <headerFooter>
    <oddFooter>&amp;L현장노트 · 등록목록&amp;R&amp;P / &amp;N</oddFooter>
  </headerFooter>
  <drawing r:id="rIdImages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0"/>
  <sheetViews>
    <sheetView workbookViewId="0" showGridLines="0">
      <pane ySplit="7" topLeftCell="A8" activePane="bottomLeft" state="frozen"/>
      <selection pane="bottomLeft" activeCell="A8" sqref="A8"/>
    </sheetView>
  </sheetViews>
  <sheetFormatPr defaultRowHeight="24"/>
  <cols>
    <col min="1" max="1" width="29" customWidth="1"/>
    <col min="2" max="2" width="17" customWidth="1"/>
    <col min="3" max="3" width="19" customWidth="1"/>
    <col min="4" max="4" width="5" customWidth="1"/>
    <col min="5" max="5" width="29" customWidth="1"/>
    <col min="6" max="6" width="17" customWidth="1"/>
    <col min="7" max="7" width="19" customWidth="1"/>
  </cols>
  <sheetData>
    <row r="1" ht="38" customHeight="1">
      <c r="A1" s="9" t="inlineStr">
        <is>
          <t xml:space="preserve">현장노트 · 등록 데이터 집계</t>
        </is>
      </c>
    </row>
    <row r="2" ht="35" customHeight="1">
      <c r="A2" s="12" t="inlineStr">
        <is>
          <t xml:space="preserve">등록 목록 조회 범위 · 체험 예시 · 실제 현장 아님 · 등록 건수이며 발생률·AI 예측 아님</t>
        </is>
      </c>
    </row>
    <row r="4" ht="30" customHeight="1">
      <c r="A4" s="35" t="inlineStr">
        <is>
          <t xml:space="preserve">등록 건수</t>
        </is>
      </c>
      <c r="B4" s="35">
        <f>COUNTA('등록목록'!$A$5:$A$40)</f>
        <v>36</v>
      </c>
      <c r="E4" s="35" t="inlineStr">
        <is>
          <t xml:space="preserve">실제 / 체험</t>
        </is>
      </c>
      <c r="F4" s="35">
        <v>0</v>
      </c>
      <c r="G4" s="35">
        <v>36</v>
      </c>
    </row>
    <row r="7" ht="28" customHeight="1">
      <c r="A7" s="15" t="inlineStr">
        <is>
          <t xml:space="preserve">위치</t>
        </is>
      </c>
      <c r="B7" s="15" t="inlineStr">
        <is>
          <t xml:space="preserve">등록 건수</t>
        </is>
      </c>
      <c r="C7" s="15" t="inlineStr">
        <is>
          <t xml:space="preserve">등록 내 비중</t>
        </is>
      </c>
      <c r="E7" s="15" t="inlineStr">
        <is>
          <t xml:space="preserve">공종</t>
        </is>
      </c>
      <c r="F7" s="15" t="inlineStr">
        <is>
          <t xml:space="preserve">등록 건수</t>
        </is>
      </c>
      <c r="G7" s="15" t="inlineStr">
        <is>
          <t xml:space="preserve">등록 내 비중</t>
        </is>
      </c>
    </row>
    <row r="8" ht="24" customHeight="1">
      <c r="A8" s="4" t="inlineStr">
        <is>
          <t xml:space="preserve">욕실</t>
        </is>
      </c>
      <c r="B8" s="38">
        <f>COUNTIF('등록목록'!$C$5:$C$40,SUBSTITUTE(SUBSTITUTE(SUBSTITUTE(A8,"~","~~"),"*","~*"),"?","~?"))</f>
        <v>12</v>
      </c>
      <c r="C8" s="40">
        <f>IFERROR(B8/$B$4,0)</f>
        <v>0.3333333333333333</v>
      </c>
      <c r="E8" s="4" t="inlineStr">
        <is>
          <t xml:space="preserve">타일</t>
        </is>
      </c>
      <c r="F8" s="38">
        <f>COUNTIF('등록목록'!$D$5:$D$40,SUBSTITUTE(SUBSTITUTE(SUBSTITUTE(E8,"~","~~"),"*","~*"),"?","~?"))</f>
        <v>12</v>
      </c>
      <c r="G8" s="40">
        <f>IFERROR(F8/$B$4,0)</f>
        <v>0.3333333333333333</v>
      </c>
    </row>
    <row r="9" ht="24" customHeight="1">
      <c r="A9" s="4" t="inlineStr">
        <is>
          <t xml:space="preserve">거실</t>
        </is>
      </c>
      <c r="B9" s="38">
        <f>COUNTIF('등록목록'!$C$5:$C$40,SUBSTITUTE(SUBSTITUTE(SUBSTITUTE(A9,"~","~~"),"*","~*"),"?","~?"))</f>
        <v>8</v>
      </c>
      <c r="C9" s="40">
        <f>IFERROR(B9/$B$4,0)</f>
        <v>0.2222222222222222</v>
      </c>
      <c r="E9" s="4" t="inlineStr">
        <is>
          <t xml:space="preserve">가구</t>
        </is>
      </c>
      <c r="F9" s="38">
        <f>COUNTIF('등록목록'!$D$5:$D$40,SUBSTITUTE(SUBSTITUTE(SUBSTITUTE(E9,"~","~~"),"*","~*"),"?","~?"))</f>
        <v>6</v>
      </c>
      <c r="G9" s="40">
        <f>IFERROR(F9/$B$4,0)</f>
        <v>0.16666666666666666</v>
      </c>
    </row>
    <row r="10" ht="24" customHeight="1">
      <c r="A10" s="4" t="inlineStr">
        <is>
          <t xml:space="preserve">주방</t>
        </is>
      </c>
      <c r="B10" s="38">
        <f>COUNTIF('등록목록'!$C$5:$C$40,SUBSTITUTE(SUBSTITUTE(SUBSTITUTE(A10,"~","~~"),"*","~*"),"?","~?"))</f>
        <v>6</v>
      </c>
      <c r="C10" s="40">
        <f>IFERROR(B10/$B$4,0)</f>
        <v>0.16666666666666666</v>
      </c>
      <c r="E10" s="4" t="inlineStr">
        <is>
          <t xml:space="preserve">내장</t>
        </is>
      </c>
      <c r="F10" s="38">
        <f>COUNTIF('등록목록'!$D$5:$D$40,SUBSTITUTE(SUBSTITUTE(SUBSTITUTE(E10,"~","~~"),"*","~*"),"?","~?"))</f>
        <v>6</v>
      </c>
      <c r="G10" s="40">
        <f>IFERROR(F10/$B$4,0)</f>
        <v>0.16666666666666666</v>
      </c>
    </row>
    <row r="11" ht="24" customHeight="1">
      <c r="A11" s="4" t="inlineStr">
        <is>
          <t xml:space="preserve">안방</t>
        </is>
      </c>
      <c r="B11" s="38">
        <f>COUNTIF('등록목록'!$C$5:$C$40,SUBSTITUTE(SUBSTITUTE(SUBSTITUTE(A11,"~","~~"),"*","~*"),"?","~?"))</f>
        <v>5</v>
      </c>
      <c r="C11" s="40">
        <f>IFERROR(B11/$B$4,0)</f>
        <v>0.1388888888888889</v>
      </c>
      <c r="E11" s="4" t="inlineStr">
        <is>
          <t xml:space="preserve">도배</t>
        </is>
      </c>
      <c r="F11" s="38">
        <f>COUNTIF('등록목록'!$D$5:$D$40,SUBSTITUTE(SUBSTITUTE(SUBSTITUTE(E11,"~","~~"),"*","~*"),"?","~?"))</f>
        <v>5</v>
      </c>
      <c r="G11" s="40">
        <f>IFERROR(F11/$B$4,0)</f>
        <v>0.1388888888888889</v>
      </c>
    </row>
    <row r="12" ht="24" customHeight="1">
      <c r="A12" s="4" t="inlineStr">
        <is>
          <t xml:space="preserve">현관</t>
        </is>
      </c>
      <c r="B12" s="38">
        <f>COUNTIF('등록목록'!$C$5:$C$40,SUBSTITUTE(SUBSTITUTE(SUBSTITUTE(A12,"~","~~"),"*","~*"),"?","~?"))</f>
        <v>3</v>
      </c>
      <c r="C12" s="40">
        <f>IFERROR(B12/$B$4,0)</f>
        <v>0.08333333333333333</v>
      </c>
      <c r="E12" s="4" t="inlineStr">
        <is>
          <t xml:space="preserve">창호</t>
        </is>
      </c>
      <c r="F12" s="38">
        <f>COUNTIF('등록목록'!$D$5:$D$40,SUBSTITUTE(SUBSTITUTE(SUBSTITUTE(E12,"~","~~"),"*","~*"),"?","~?"))</f>
        <v>5</v>
      </c>
      <c r="G12" s="40">
        <f>IFERROR(F12/$B$4,0)</f>
        <v>0.1388888888888889</v>
      </c>
    </row>
    <row r="13" ht="24" customHeight="1">
      <c r="A13" s="4" t="inlineStr">
        <is>
          <t xml:space="preserve">작은방</t>
        </is>
      </c>
      <c r="B13" s="38">
        <f>COUNTIF('등록목록'!$C$5:$C$40,SUBSTITUTE(SUBSTITUTE(SUBSTITUTE(A13,"~","~~"),"*","~*"),"?","~?"))</f>
        <v>2</v>
      </c>
      <c r="C13" s="40">
        <f>IFERROR(B13/$B$4,0)</f>
        <v>0.05555555555555555</v>
      </c>
      <c r="E13" s="4" t="inlineStr">
        <is>
          <t xml:space="preserve">전기</t>
        </is>
      </c>
      <c r="F13" s="38">
        <f>COUNTIF('등록목록'!$D$5:$D$40,SUBSTITUTE(SUBSTITUTE(SUBSTITUTE(E13,"~","~~"),"*","~*"),"?","~?"))</f>
        <v>2</v>
      </c>
      <c r="G13" s="40">
        <f>IFERROR(F13/$B$4,0)</f>
        <v>0.05555555555555555</v>
      </c>
    </row>
    <row r="17" ht="28" customHeight="1">
      <c r="A17" s="15" t="inlineStr">
        <is>
          <t xml:space="preserve">동호수</t>
        </is>
      </c>
      <c r="B17" s="15" t="inlineStr">
        <is>
          <t xml:space="preserve">등록 건수</t>
        </is>
      </c>
      <c r="C17" s="15" t="inlineStr">
        <is>
          <t xml:space="preserve">등록 내 비중</t>
        </is>
      </c>
    </row>
    <row r="18" ht="24" customHeight="1">
      <c r="A18" s="4" t="inlineStr">
        <is>
          <t xml:space="preserve">101동 1203호</t>
        </is>
      </c>
      <c r="B18" s="38">
        <f>COUNTIF('등록목록'!$B$5:$B$40,SUBSTITUTE(SUBSTITUTE(SUBSTITUTE(A18,"~","~~"),"*","~*"),"?","~?"))</f>
        <v>6</v>
      </c>
      <c r="C18" s="40">
        <f>IFERROR(B18/$B$4,0)</f>
        <v>0.16666666666666666</v>
      </c>
    </row>
    <row r="19" ht="24" customHeight="1">
      <c r="A19" s="4" t="inlineStr">
        <is>
          <t xml:space="preserve">101동 1204호</t>
        </is>
      </c>
      <c r="B19" s="38">
        <f>COUNTIF('등록목록'!$B$5:$B$40,SUBSTITUTE(SUBSTITUTE(SUBSTITUTE(A19,"~","~~"),"*","~*"),"?","~?"))</f>
        <v>6</v>
      </c>
      <c r="C19" s="40">
        <f>IFERROR(B19/$B$4,0)</f>
        <v>0.16666666666666666</v>
      </c>
    </row>
    <row r="20" ht="24" customHeight="1">
      <c r="A20" s="4" t="inlineStr">
        <is>
          <t xml:space="preserve">101동 1303호</t>
        </is>
      </c>
      <c r="B20" s="38">
        <f>COUNTIF('등록목록'!$B$5:$B$40,SUBSTITUTE(SUBSTITUTE(SUBSTITUTE(A20,"~","~~"),"*","~*"),"?","~?"))</f>
        <v>6</v>
      </c>
      <c r="C20" s="40">
        <f>IFERROR(B20/$B$4,0)</f>
        <v>0.16666666666666666</v>
      </c>
    </row>
    <row r="21" ht="24" customHeight="1">
      <c r="A21" s="4" t="inlineStr">
        <is>
          <t xml:space="preserve">102동 803호</t>
        </is>
      </c>
      <c r="B21" s="38">
        <f>COUNTIF('등록목록'!$B$5:$B$40,SUBSTITUTE(SUBSTITUTE(SUBSTITUTE(A21,"~","~~"),"*","~*"),"?","~?"))</f>
        <v>6</v>
      </c>
      <c r="C21" s="40">
        <f>IFERROR(B21/$B$4,0)</f>
        <v>0.16666666666666666</v>
      </c>
    </row>
    <row r="22" ht="24" customHeight="1">
      <c r="A22" s="4" t="inlineStr">
        <is>
          <t xml:space="preserve">102동 804호</t>
        </is>
      </c>
      <c r="B22" s="38">
        <f>COUNTIF('등록목록'!$B$5:$B$40,SUBSTITUTE(SUBSTITUTE(SUBSTITUTE(A22,"~","~~"),"*","~*"),"?","~?"))</f>
        <v>6</v>
      </c>
      <c r="C22" s="40">
        <f>IFERROR(B22/$B$4,0)</f>
        <v>0.16666666666666666</v>
      </c>
    </row>
    <row r="23" ht="24" customHeight="1">
      <c r="A23" s="4" t="inlineStr">
        <is>
          <t xml:space="preserve">102동 903호</t>
        </is>
      </c>
      <c r="B23" s="38">
        <f>COUNTIF('등록목록'!$B$5:$B$40,SUBSTITUTE(SUBSTITUTE(SUBSTITUTE(A23,"~","~~"),"*","~*"),"?","~?"))</f>
        <v>6</v>
      </c>
      <c r="C23" s="40">
        <f>IFERROR(B23/$B$4,0)</f>
        <v>0.16666666666666666</v>
      </c>
    </row>
    <row r="26" ht="28" customHeight="1">
      <c r="A26" s="12" t="inlineStr">
        <is>
          <t xml:space="preserve">집계 기준: 사진 등록 1건을 1건으로 계산합니다. 재점검·중복 사진은 자동 제거되지 않습니다.</t>
        </is>
      </c>
    </row>
    <row r="27" ht="28" customHeight="1">
      <c r="A27" s="12" t="inlineStr">
        <is>
          <t xml:space="preserve">위치·공종: 내용 키워드 기반 자동 분류 또는 상세 화면에서 직접 확인한 분류입니다.</t>
        </is>
      </c>
    </row>
    <row r="28" ht="28" customHeight="1">
      <c r="A28" s="12" t="inlineStr">
        <is>
          <t xml:space="preserve">주의: 전체 점검 대상 수·정상 사례가 없으므로 위치별 발생률이나 품질순위를 뜻하지 않습니다.</t>
        </is>
      </c>
    </row>
    <row r="29" ht="28" customHeight="1">
      <c r="A29" s="12" t="inlineStr">
        <is>
          <t xml:space="preserve">AI 예측: 모델 미연결. 미래 발생 가능성 및 확률은 산출하지 않습니다.</t>
        </is>
      </c>
    </row>
    <row r="30" ht="28" customHeight="1">
      <c r="A30" s="12" t="inlineStr">
        <is>
          <t xml:space="preserve">보관: 이 엑셀에는 녹음 원본이 없습니다. 녹음까지 보관하려면 앱에서 기록 백업을 사용하세요.</t>
        </is>
      </c>
    </row>
  </sheetData>
  <mergeCells count="7">
    <mergeCell ref="A1:G1"/>
    <mergeCell ref="A2:G2"/>
    <mergeCell ref="A26:G26"/>
    <mergeCell ref="A27:G27"/>
    <mergeCell ref="A28:G28"/>
    <mergeCell ref="A29:G29"/>
    <mergeCell ref="A30:G30"/>
  </mergeCells>
  <conditionalFormatting sqref="B8:B13">
    <cfRule type="dataBar" priority="1">
      <dataBar showValue="1">
        <cfvo type="min"/>
        <cfvo type="max"/>
        <color rgb="FFBED5CA"/>
      </dataBar>
    </cfRule>
  </conditionalFormatting>
  <conditionalFormatting sqref="F8:F13">
    <cfRule type="dataBar" priority="2">
      <dataBar showValue="1">
        <cfvo type="min"/>
        <cfvo type="max"/>
        <color rgb="FFBED5CA"/>
      </dataBar>
    </cfRule>
  </conditionalFormatting>
  <printOptions horizontalCentered="1"/>
  <pageMargins left="0.25" right="0.25" top="0.35" bottom="0.35" header="0.15" footer="0.15"/>
  <pageSetup paperSize="9" orientation="landscape" fitToWidth="1" fitToHeight="0"/>
  <headerFooter>
    <oddFooter>&amp;L현장노트 · 등록목록&amp;R&amp;P / &amp;N</oddFooter>
  </headerFooter>
</worksheet>
</file>